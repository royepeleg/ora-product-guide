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OfMaterials" sheetId="1" r:id="rId4"/>
  </sheets>
  <definedNames>
    <definedName name="VALUEVX">_xludf.LAMBDA(42.314159)</definedName>
  </definedNames>
  <calcPr/>
  <extLst>
    <ext uri="GoogleSheetsCustomDataVersion2">
      <go:sheetsCustomData xmlns:go="http://customooxmlschemas.google.com/" r:id="rId5" roundtripDataChecksum="F7xjdJ/jXZWhiD2+W4Pj+XHC2fvJLxSrSxdLr9r4VAY="/>
    </ext>
  </extLst>
</workbook>
</file>

<file path=xl/sharedStrings.xml><?xml version="1.0" encoding="utf-8"?>
<sst xmlns="http://schemas.openxmlformats.org/spreadsheetml/2006/main" count="39" uniqueCount="34">
  <si>
    <t>Bill of Materials Template</t>
  </si>
  <si>
    <t>Name :</t>
  </si>
  <si>
    <t>ערכת תאורה  לAVATA1</t>
  </si>
  <si>
    <t>Number :</t>
  </si>
  <si>
    <t>Revision :</t>
  </si>
  <si>
    <t>Approval Date :</t>
  </si>
  <si>
    <t>Part Count :</t>
  </si>
  <si>
    <t>Total Cost :</t>
  </si>
  <si>
    <t>Category</t>
  </si>
  <si>
    <t>Part #</t>
  </si>
  <si>
    <t>Part Name</t>
  </si>
  <si>
    <t>Qty</t>
  </si>
  <si>
    <t>Units</t>
  </si>
  <si>
    <t>Supplier</t>
  </si>
  <si>
    <t>Unit Cost</t>
  </si>
  <si>
    <t>Cost</t>
  </si>
  <si>
    <t>link</t>
  </si>
  <si>
    <t>hardware</t>
  </si>
  <si>
    <t>pcb poard all in 1</t>
  </si>
  <si>
    <t>each</t>
  </si>
  <si>
    <t>?</t>
  </si>
  <si>
    <t>Flashlights</t>
  </si>
  <si>
    <t xml:space="preserve">tini 2 </t>
  </si>
  <si>
    <t>ali axpress</t>
  </si>
  <si>
    <t>https://he.aliexpress.com/item/1005009932469023.html?spm=a2g0o.tesla.0.0.686fw2Exw2ExD2&amp;afTraceInfo=1005009932469023__pc__c_ppc_item_bridge_pc_main__oRK5eMn__1762892377129&amp;gatewayAdapt=glo2isr</t>
  </si>
  <si>
    <t>Cases</t>
  </si>
  <si>
    <t>Rear case including TINI2 flashlight</t>
  </si>
  <si>
    <t>אלון</t>
  </si>
  <si>
    <t>Front housing for TINI2 headlight, right</t>
  </si>
  <si>
    <t>cd cars</t>
  </si>
  <si>
    <t>cd very slow card</t>
  </si>
  <si>
    <t>KSP</t>
  </si>
  <si>
    <t>connectors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</si>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</sst>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\-yy"/>
    <numFmt numFmtId="165" formatCode="&quot;₪&quot;\ #,##0.00"/>
  </numFmts>
  <fonts count="13">
    <font>
      <sz val="11.0"/>
      <color theme="1"/>
      <name val="Aptos Narrow"/>
      <scheme val="minor"/>
    </font>
    <font>
      <sz val="22.0"/>
      <color rgb="FF2B4575"/>
      <name val="Arial"/>
    </font>
    <font>
      <sz val="10.0"/>
      <color theme="1"/>
      <name val="Trebuchet MS"/>
    </font>
    <font>
      <b/>
      <sz val="18.0"/>
      <color rgb="FF273359"/>
      <name val="Trebuchet MS"/>
    </font>
    <font>
      <sz val="11.0"/>
      <color rgb="FF000000"/>
      <name val="Aptos Narrow"/>
    </font>
    <font>
      <b/>
      <sz val="22.0"/>
      <color theme="1"/>
      <name val="Arial"/>
    </font>
    <font>
      <b/>
      <sz val="10.0"/>
      <color theme="1"/>
      <name val="Trebuchet MS"/>
    </font>
    <font>
      <b/>
      <sz val="18.0"/>
      <color theme="1"/>
      <name val="Trebuchet MS"/>
    </font>
    <font>
      <u/>
      <sz val="10.0"/>
      <color rgb="FF0000FF"/>
      <name val="Trebuchet MS"/>
    </font>
    <font>
      <sz val="10.0"/>
      <color rgb="FFFFFFFF"/>
      <name val="Trebuchet MS"/>
    </font>
    <font>
      <sz val="11.0"/>
      <color theme="1"/>
      <name val="Arial"/>
    </font>
    <font>
      <sz val="11.0"/>
      <color theme="1"/>
      <name val="Trebuchet MS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left" vertical="center"/>
    </xf>
    <xf borderId="0" fillId="0" fontId="8" numFmtId="0" xfId="0" applyFont="1"/>
    <xf borderId="0" fillId="0" fontId="9" numFmtId="0" xfId="0" applyAlignment="1" applyFont="1">
      <alignment horizontal="right"/>
    </xf>
    <xf borderId="1" fillId="0" fontId="10" numFmtId="0" xfId="0" applyAlignment="1" applyBorder="1" applyFont="1">
      <alignment horizontal="right"/>
    </xf>
    <xf borderId="1" fillId="0" fontId="11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right"/>
    </xf>
    <xf borderId="2" fillId="0" fontId="11" numFmtId="0" xfId="0" applyAlignment="1" applyBorder="1" applyFont="1">
      <alignment horizontal="left"/>
    </xf>
    <xf borderId="2" fillId="0" fontId="11" numFmtId="164" xfId="0" applyAlignment="1" applyBorder="1" applyFont="1" applyNumberFormat="1">
      <alignment horizontal="left"/>
    </xf>
    <xf borderId="2" fillId="0" fontId="11" numFmtId="0" xfId="0" applyAlignment="1" applyBorder="1" applyFont="1">
      <alignment horizontal="center"/>
    </xf>
    <xf borderId="3" fillId="0" fontId="10" numFmtId="0" xfId="0" applyAlignment="1" applyBorder="1" applyFont="1">
      <alignment horizontal="right"/>
    </xf>
    <xf borderId="3" fillId="0" fontId="11" numFmtId="165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4" fillId="2" fontId="9" numFmtId="0" xfId="0" applyAlignment="1" applyBorder="1" applyFill="1" applyFont="1">
      <alignment horizontal="right"/>
    </xf>
    <xf borderId="5" fillId="2" fontId="12" numFmtId="0" xfId="0" applyAlignment="1" applyBorder="1" applyFont="1">
      <alignment horizontal="left" vertical="top"/>
    </xf>
    <xf borderId="5" fillId="2" fontId="12" numFmtId="165" xfId="0" applyAlignment="1" applyBorder="1" applyFont="1" applyNumberFormat="1">
      <alignment horizontal="left" vertical="top"/>
    </xf>
    <xf borderId="5" fillId="2" fontId="2" numFmtId="0" xfId="0" applyAlignment="1" applyBorder="1" applyFont="1">
      <alignment horizontal="left" vertical="top"/>
    </xf>
    <xf borderId="5" fillId="2" fontId="2" numFmtId="0" xfId="0" applyBorder="1" applyFont="1"/>
    <xf borderId="4" fillId="2" fontId="2" numFmtId="0" xfId="0" applyBorder="1" applyFont="1"/>
    <xf borderId="5" fillId="2" fontId="2" numFmtId="0" xfId="0" applyAlignment="1" applyBorder="1" applyFont="1">
      <alignment horizontal="left" shrinkToFit="0" vertical="top" wrapText="1"/>
    </xf>
    <xf borderId="5" fillId="2" fontId="2" numFmtId="165" xfId="0" applyAlignment="1" applyBorder="1" applyFont="1" applyNumberFormat="1">
      <alignment horizontal="left" vertical="top"/>
    </xf>
    <xf borderId="5" fillId="2" fontId="2" numFmtId="0" xfId="0" applyAlignment="1" applyBorder="1" applyFont="1">
      <alignment horizontal="left" readingOrder="0" vertical="top"/>
    </xf>
    <xf borderId="4" fillId="2" fontId="4" numFmtId="0" xfId="0" applyBorder="1" applyFont="1"/>
    <xf borderId="5" fillId="2" fontId="6" numFmtId="0" xfId="0" applyAlignment="1" applyBorder="1" applyFont="1">
      <alignment horizontal="left" vertical="top"/>
    </xf>
    <xf borderId="5" fillId="2" fontId="6" numFmtId="165" xfId="0" applyAlignment="1" applyBorder="1" applyFont="1" applyNumberFormat="1">
      <alignment horizontal="left"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3DDEE"/>
          <bgColor rgb="FFD3DDEE"/>
        </patternFill>
      </fill>
      <border/>
    </dxf>
    <dxf>
      <font/>
      <fill>
        <patternFill patternType="solid">
          <fgColor rgb="FFA8BCDE"/>
          <bgColor rgb="FFA8BCDE"/>
        </patternFill>
      </fill>
      <border/>
    </dxf>
  </dxfs>
  <tableStyles count="1">
    <tableStyle count="2" pivot="0" name="BillOfMaterial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1:K2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illOfMateri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ertex42.com/ExcelTemplates/free-timesheet-template.html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9.63"/>
    <col customWidth="1" min="3" max="3" width="6.63"/>
    <col customWidth="1" min="4" max="4" width="13.0"/>
    <col customWidth="1" min="5" max="5" width="14.0"/>
    <col customWidth="1" min="6" max="6" width="7.88"/>
    <col customWidth="1" min="7" max="7" width="8.75"/>
    <col customWidth="1" min="8" max="8" width="7.88"/>
    <col customWidth="1" min="9" max="9" width="13.5"/>
    <col customWidth="1" min="10" max="10" width="8.25"/>
    <col customWidth="1" min="11" max="11" width="8.63"/>
    <col customWidth="1" min="12" max="12" width="11.38"/>
    <col customWidth="1" min="13" max="14" width="9.0"/>
  </cols>
  <sheetData>
    <row r="1" ht="27.0" customHeight="1">
      <c r="A1" s="1"/>
      <c r="B1" s="1"/>
      <c r="C1" s="1"/>
      <c r="D1" s="2"/>
      <c r="E1" s="2"/>
      <c r="F1" s="3"/>
      <c r="G1" s="3"/>
      <c r="H1" s="3"/>
      <c r="I1" s="3"/>
      <c r="J1" s="3"/>
      <c r="K1" s="3"/>
      <c r="L1" s="2"/>
      <c r="M1" s="2"/>
      <c r="N1" s="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1"/>
      <c r="B2" s="5" t="s">
        <v>0</v>
      </c>
      <c r="C2" s="5"/>
      <c r="D2" s="6"/>
      <c r="E2" s="6"/>
      <c r="F2" s="7"/>
      <c r="G2" s="3"/>
      <c r="H2" s="3"/>
      <c r="I2" s="3"/>
      <c r="J2" s="3"/>
      <c r="K2" s="3"/>
      <c r="L2" s="2"/>
      <c r="M2" s="2"/>
      <c r="N2" s="2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"/>
      <c r="B3" s="2"/>
      <c r="C3" s="2"/>
      <c r="D3" s="2"/>
      <c r="E3" s="8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9"/>
      <c r="B4" s="10"/>
      <c r="C4" s="10" t="s">
        <v>1</v>
      </c>
      <c r="D4" s="11" t="s">
        <v>2</v>
      </c>
      <c r="E4" s="2"/>
      <c r="F4" s="2"/>
      <c r="G4" s="2"/>
      <c r="H4" s="2"/>
      <c r="I4" s="9"/>
      <c r="J4" s="2"/>
      <c r="K4" s="2"/>
      <c r="L4" s="2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2"/>
      <c r="B5" s="12"/>
      <c r="C5" s="12" t="s">
        <v>3</v>
      </c>
      <c r="D5" s="13">
        <v>1.0</v>
      </c>
      <c r="E5" s="2"/>
      <c r="F5" s="2"/>
      <c r="G5" s="4"/>
      <c r="H5" s="2"/>
      <c r="I5" s="2"/>
      <c r="J5" s="2"/>
      <c r="K5" s="2"/>
      <c r="L5" s="2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9"/>
      <c r="B6" s="12"/>
      <c r="C6" s="12" t="s">
        <v>4</v>
      </c>
      <c r="D6" s="13">
        <v>0.1</v>
      </c>
      <c r="E6" s="2"/>
      <c r="F6" s="2"/>
      <c r="G6" s="4"/>
      <c r="H6" s="2"/>
      <c r="I6" s="2"/>
      <c r="J6" s="2"/>
      <c r="K6" s="2"/>
      <c r="L6" s="2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"/>
      <c r="B7" s="12"/>
      <c r="C7" s="12" t="s">
        <v>5</v>
      </c>
      <c r="D7" s="14"/>
      <c r="E7" s="6"/>
      <c r="F7" s="6"/>
      <c r="G7" s="6"/>
      <c r="H7" s="6"/>
      <c r="I7" s="2"/>
      <c r="J7" s="6"/>
      <c r="K7" s="6"/>
      <c r="L7" s="2"/>
      <c r="M7" s="2"/>
      <c r="N7" s="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9"/>
      <c r="B8" s="12"/>
      <c r="C8" s="12" t="s">
        <v>6</v>
      </c>
      <c r="D8" s="15">
        <f>BillOfMaterials!$E$21</f>
        <v>120</v>
      </c>
      <c r="E8" s="6"/>
      <c r="F8" s="6"/>
      <c r="G8" s="6"/>
      <c r="H8" s="6"/>
      <c r="I8" s="2"/>
      <c r="J8" s="6"/>
      <c r="K8" s="6"/>
      <c r="L8" s="2"/>
      <c r="M8" s="2"/>
      <c r="N8" s="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"/>
      <c r="B9" s="16"/>
      <c r="C9" s="16" t="s">
        <v>7</v>
      </c>
      <c r="D9" s="17">
        <f>BillOfMaterials!$I$21</f>
        <v>3818</v>
      </c>
      <c r="E9" s="6"/>
      <c r="F9" s="6"/>
      <c r="G9" s="6"/>
      <c r="H9" s="6"/>
      <c r="I9" s="2"/>
      <c r="J9" s="6"/>
      <c r="K9" s="6"/>
      <c r="L9" s="2"/>
      <c r="M9" s="2"/>
      <c r="N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"/>
      <c r="B10" s="2"/>
      <c r="C10" s="2"/>
      <c r="D10" s="2"/>
      <c r="E10" s="2"/>
      <c r="F10" s="2"/>
      <c r="G10" s="6"/>
      <c r="H10" s="6"/>
      <c r="I10" s="18"/>
      <c r="J10" s="6"/>
      <c r="K10" s="6"/>
      <c r="L10" s="2"/>
      <c r="M10" s="2"/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9"/>
      <c r="B11" s="20" t="s">
        <v>8</v>
      </c>
      <c r="C11" s="20" t="s">
        <v>9</v>
      </c>
      <c r="D11" s="20" t="s">
        <v>10</v>
      </c>
      <c r="E11" s="20" t="s">
        <v>11</v>
      </c>
      <c r="F11" s="20" t="s">
        <v>12</v>
      </c>
      <c r="G11" s="20" t="s">
        <v>13</v>
      </c>
      <c r="H11" s="21" t="s">
        <v>14</v>
      </c>
      <c r="I11" s="21" t="s">
        <v>15</v>
      </c>
      <c r="J11" s="22" t="s">
        <v>16</v>
      </c>
      <c r="K11" s="23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25" t="s">
        <v>17</v>
      </c>
      <c r="C12" s="22">
        <v>1.0</v>
      </c>
      <c r="D12" s="25" t="s">
        <v>18</v>
      </c>
      <c r="E12" s="22">
        <v>20.0</v>
      </c>
      <c r="F12" s="22" t="s">
        <v>19</v>
      </c>
      <c r="G12" s="22" t="s">
        <v>20</v>
      </c>
      <c r="H12" s="26">
        <v>15.9</v>
      </c>
      <c r="I12" s="26">
        <f>BillOfMaterials!$E12*BillOfMaterials!H12</f>
        <v>318</v>
      </c>
      <c r="J12" s="22"/>
      <c r="K12" s="23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24"/>
      <c r="B13" s="25" t="s">
        <v>21</v>
      </c>
      <c r="C13" s="22">
        <v>2.0</v>
      </c>
      <c r="D13" s="25" t="s">
        <v>22</v>
      </c>
      <c r="E13" s="22">
        <v>40.0</v>
      </c>
      <c r="F13" s="22">
        <v>2.0</v>
      </c>
      <c r="G13" s="22" t="s">
        <v>23</v>
      </c>
      <c r="H13" s="26">
        <v>82.5</v>
      </c>
      <c r="I13" s="26">
        <f>BillOfMaterials!$E13*BillOfMaterials!$H13</f>
        <v>3300</v>
      </c>
      <c r="J13" s="22" t="s">
        <v>24</v>
      </c>
      <c r="K13" s="23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9"/>
      <c r="B14" s="22" t="s">
        <v>25</v>
      </c>
      <c r="C14" s="22">
        <v>3.0</v>
      </c>
      <c r="D14" s="25" t="s">
        <v>26</v>
      </c>
      <c r="E14" s="22">
        <v>20.0</v>
      </c>
      <c r="F14" s="22" t="s">
        <v>19</v>
      </c>
      <c r="G14" s="27" t="s">
        <v>27</v>
      </c>
      <c r="H14" s="26">
        <v>0.0</v>
      </c>
      <c r="I14" s="26">
        <f>BillOfMaterials!$E14*BillOfMaterials!$H14</f>
        <v>0</v>
      </c>
      <c r="J14" s="22"/>
      <c r="K14" s="23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22" t="s">
        <v>25</v>
      </c>
      <c r="C15" s="22">
        <v>4.0</v>
      </c>
      <c r="D15" s="25" t="s">
        <v>28</v>
      </c>
      <c r="E15" s="22">
        <v>20.0</v>
      </c>
      <c r="F15" s="22" t="s">
        <v>19</v>
      </c>
      <c r="G15" s="27" t="s">
        <v>27</v>
      </c>
      <c r="H15" s="26">
        <v>0.0</v>
      </c>
      <c r="I15" s="26">
        <f>BillOfMaterials!$E15*BillOfMaterials!$H15</f>
        <v>0</v>
      </c>
      <c r="J15" s="22"/>
      <c r="K15" s="23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19"/>
      <c r="B16" s="25" t="s">
        <v>29</v>
      </c>
      <c r="C16" s="22">
        <v>5.0</v>
      </c>
      <c r="D16" s="25" t="s">
        <v>30</v>
      </c>
      <c r="E16" s="22">
        <v>20.0</v>
      </c>
      <c r="F16" s="22" t="s">
        <v>19</v>
      </c>
      <c r="G16" s="22" t="s">
        <v>31</v>
      </c>
      <c r="H16" s="26">
        <v>10.0</v>
      </c>
      <c r="I16" s="26">
        <f>BillOfMaterials!$E16*BillOfMaterials!$H16</f>
        <v>200</v>
      </c>
      <c r="J16" s="22"/>
      <c r="K16" s="23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24"/>
      <c r="B17" s="25"/>
      <c r="C17" s="22"/>
      <c r="D17" s="25"/>
      <c r="E17" s="22"/>
      <c r="F17" s="22"/>
      <c r="G17" s="22"/>
      <c r="H17" s="26"/>
      <c r="I17" s="26"/>
      <c r="J17" s="22"/>
      <c r="K17" s="23"/>
      <c r="L17" s="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24"/>
      <c r="B18" s="25"/>
      <c r="C18" s="22"/>
      <c r="D18" s="25"/>
      <c r="E18" s="22"/>
      <c r="F18" s="22"/>
      <c r="G18" s="22"/>
      <c r="H18" s="26"/>
      <c r="I18" s="26"/>
      <c r="J18" s="22"/>
      <c r="K18" s="23"/>
      <c r="L18" s="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24"/>
      <c r="B19" s="25"/>
      <c r="C19" s="22"/>
      <c r="D19" s="25"/>
      <c r="E19" s="22"/>
      <c r="F19" s="22"/>
      <c r="G19" s="22"/>
      <c r="H19" s="26"/>
      <c r="I19" s="26"/>
      <c r="J19" s="22"/>
      <c r="K19" s="23"/>
      <c r="L19" s="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24"/>
      <c r="B20" s="25" t="s">
        <v>32</v>
      </c>
      <c r="C20" s="22"/>
      <c r="D20" s="25"/>
      <c r="E20" s="22"/>
      <c r="F20" s="22"/>
      <c r="G20" s="22"/>
      <c r="H20" s="26"/>
      <c r="I20" s="26">
        <f>BillOfMaterials!$E20*BillOfMaterials!$H20</f>
        <v>0</v>
      </c>
      <c r="J20" s="22"/>
      <c r="K20" s="23"/>
      <c r="L20" s="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8"/>
      <c r="B21" s="29" t="s">
        <v>33</v>
      </c>
      <c r="C21" s="29"/>
      <c r="D21" s="29"/>
      <c r="E21" s="29">
        <f>SUBTOTAL(109,BillOfMaterials!$E$12:$E$20)</f>
        <v>120</v>
      </c>
      <c r="F21" s="29"/>
      <c r="G21" s="29"/>
      <c r="H21" s="30"/>
      <c r="I21" s="30">
        <f>SUBTOTAL(109,BillOfMaterials!$I$12:$I$20)</f>
        <v>3818</v>
      </c>
      <c r="J21" s="22"/>
      <c r="K21" s="23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"/>
      <c r="B22" s="2"/>
      <c r="C22" s="4"/>
      <c r="D22" s="2"/>
      <c r="E22" s="2"/>
      <c r="F22" s="2"/>
      <c r="G22" s="2"/>
      <c r="H22" s="4"/>
      <c r="I22" s="4"/>
      <c r="J22" s="4"/>
      <c r="K22" s="2"/>
      <c r="L22" s="2"/>
      <c r="M22" s="2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9"/>
      <c r="B23" s="2"/>
      <c r="C23" s="4"/>
      <c r="D23" s="2"/>
      <c r="E23" s="2"/>
      <c r="F23" s="2"/>
      <c r="G23" s="2"/>
      <c r="H23" s="4"/>
      <c r="I23" s="4"/>
      <c r="J23" s="4"/>
      <c r="K23" s="2"/>
      <c r="L23" s="2"/>
      <c r="M23" s="2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hyperlinks>
    <hyperlink r:id="rId1" ref="E3"/>
  </hyperlinks>
  <printOptions horizontalCentered="1"/>
  <pageMargins bottom="0.25" footer="0.0" header="0.0" left="0.25" right="0.25" top="0.25"/>
  <pageSetup fitToHeight="0"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2025-11-11T20:10:15Z</dcterms:created>
  <dc:creator>Roye peleg</dc:creator>
</cp:coreProperties>
</file>